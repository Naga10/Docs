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en\Downloads\House\"/>
    </mc:Choice>
  </mc:AlternateContent>
  <xr:revisionPtr revIDLastSave="0" documentId="8_{05D326C3-E515-4C5C-AEF4-B837932C4CA6}" xr6:coauthVersionLast="47" xr6:coauthVersionMax="47" xr10:uidLastSave="{00000000-0000-0000-0000-000000000000}"/>
  <bookViews>
    <workbookView xWindow="-120" yWindow="-120" windowWidth="29040" windowHeight="15840" xr2:uid="{C45620C9-B6C5-496C-8115-AE4346EA4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9" i="1"/>
  <c r="K7" i="1"/>
  <c r="B19" i="1"/>
  <c r="B20" i="1" s="1"/>
  <c r="B16" i="1"/>
  <c r="B15" i="1"/>
  <c r="H2" i="1"/>
  <c r="C4" i="1"/>
  <c r="C5" i="1" s="1"/>
  <c r="C2" i="1"/>
  <c r="E13" i="1"/>
  <c r="C16" i="1" s="1"/>
  <c r="B7" i="1"/>
  <c r="B8" i="1" s="1"/>
  <c r="B4" i="1"/>
  <c r="C20" i="1" l="1"/>
  <c r="A8" i="1"/>
</calcChain>
</file>

<file path=xl/sharedStrings.xml><?xml version="1.0" encoding="utf-8"?>
<sst xmlns="http://schemas.openxmlformats.org/spreadsheetml/2006/main" count="25" uniqueCount="21">
  <si>
    <t>Deductions</t>
  </si>
  <si>
    <t>Home EMI</t>
  </si>
  <si>
    <t>Home Insurance</t>
  </si>
  <si>
    <t>Car</t>
  </si>
  <si>
    <t>Car Insurance</t>
  </si>
  <si>
    <t>Internet</t>
  </si>
  <si>
    <t>Water</t>
  </si>
  <si>
    <t>Power</t>
  </si>
  <si>
    <t>India Home EMI</t>
  </si>
  <si>
    <t>Min payments</t>
  </si>
  <si>
    <t>Annual</t>
  </si>
  <si>
    <t>Monthly</t>
  </si>
  <si>
    <t>SemiMonthly</t>
  </si>
  <si>
    <t>Diff</t>
  </si>
  <si>
    <t>Semi Monthly</t>
  </si>
  <si>
    <t>Phone bill</t>
  </si>
  <si>
    <t>Netflix</t>
  </si>
  <si>
    <t>Lexus</t>
  </si>
  <si>
    <t>Costco</t>
  </si>
  <si>
    <t>Aha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</si>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</sst>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CAEF-1ACC-4203-A62F-5608B6CB7C32}">
  <dimension ref="A1:L20"/>
  <sheetViews>
    <sheetView tabSelected="1" workbookViewId="0">
      <selection activeCell="G19" sqref="G19"/>
    </sheetView>
  </sheetViews>
  <sheetFormatPr defaultRowHeight="15" x14ac:dyDescent="0.25"/>
  <cols>
    <col min="1" max="1" width="12.85546875" bestFit="1" customWidth="1"/>
    <col min="4" max="4" width="15.42578125" bestFit="1" customWidth="1"/>
    <col min="10" max="10" width="10" bestFit="1" customWidth="1"/>
  </cols>
  <sheetData>
    <row r="1" spans="1:12" x14ac:dyDescent="0.25">
      <c r="D1" t="s">
        <v>0</v>
      </c>
      <c r="H1">
        <v>2895.51</v>
      </c>
    </row>
    <row r="2" spans="1:12" x14ac:dyDescent="0.25">
      <c r="A2" t="s">
        <v>10</v>
      </c>
      <c r="B2">
        <v>87779</v>
      </c>
      <c r="C2">
        <f>B2/12</f>
        <v>7314.916666666667</v>
      </c>
      <c r="D2" t="s">
        <v>1</v>
      </c>
      <c r="E2">
        <v>4200</v>
      </c>
      <c r="G2" t="s">
        <v>13</v>
      </c>
      <c r="H2">
        <f>H1-B3</f>
        <v>42.090000000000146</v>
      </c>
      <c r="J2" t="s">
        <v>15</v>
      </c>
      <c r="K2">
        <v>123</v>
      </c>
    </row>
    <row r="3" spans="1:12" x14ac:dyDescent="0.25">
      <c r="A3" t="s">
        <v>12</v>
      </c>
      <c r="B3">
        <v>2853.42</v>
      </c>
      <c r="D3" t="s">
        <v>2</v>
      </c>
      <c r="E3">
        <v>200</v>
      </c>
      <c r="J3" t="s">
        <v>16</v>
      </c>
      <c r="K3">
        <v>16.739999999999998</v>
      </c>
      <c r="L3">
        <f>SUM(K3:K7)</f>
        <v>51.323333333333331</v>
      </c>
    </row>
    <row r="4" spans="1:12" x14ac:dyDescent="0.25">
      <c r="A4" t="s">
        <v>11</v>
      </c>
      <c r="B4">
        <f>2*B3</f>
        <v>5706.84</v>
      </c>
      <c r="C4">
        <f>C2-B4</f>
        <v>1608.0766666666668</v>
      </c>
      <c r="D4" t="s">
        <v>3</v>
      </c>
      <c r="E4">
        <v>400</v>
      </c>
      <c r="J4" t="s">
        <v>17</v>
      </c>
      <c r="K4">
        <v>8</v>
      </c>
    </row>
    <row r="5" spans="1:12" x14ac:dyDescent="0.25">
      <c r="C5">
        <f>(C4/B2)</f>
        <v>1.8319605676376659E-2</v>
      </c>
      <c r="D5" t="s">
        <v>4</v>
      </c>
      <c r="E5">
        <v>200</v>
      </c>
      <c r="J5" t="s">
        <v>18</v>
      </c>
      <c r="K5">
        <v>10</v>
      </c>
    </row>
    <row r="6" spans="1:12" x14ac:dyDescent="0.25">
      <c r="D6" t="s">
        <v>5</v>
      </c>
      <c r="E6">
        <v>70</v>
      </c>
      <c r="J6" t="s">
        <v>19</v>
      </c>
      <c r="K6">
        <v>5</v>
      </c>
    </row>
    <row r="7" spans="1:12" x14ac:dyDescent="0.25">
      <c r="B7">
        <f>B3*0.05</f>
        <v>142.67100000000002</v>
      </c>
      <c r="D7" t="s">
        <v>6</v>
      </c>
      <c r="E7">
        <v>50</v>
      </c>
      <c r="J7" t="s">
        <v>20</v>
      </c>
      <c r="K7">
        <f>139/12</f>
        <v>11.583333333333334</v>
      </c>
    </row>
    <row r="8" spans="1:12" x14ac:dyDescent="0.25">
      <c r="A8">
        <f>B4-B8</f>
        <v>5421.4980000000005</v>
      </c>
      <c r="B8">
        <f>B7*2</f>
        <v>285.34200000000004</v>
      </c>
      <c r="D8" t="s">
        <v>7</v>
      </c>
      <c r="E8">
        <v>100</v>
      </c>
    </row>
    <row r="9" spans="1:12" x14ac:dyDescent="0.25">
      <c r="A9" t="s">
        <v>0</v>
      </c>
      <c r="B9">
        <v>58.76</v>
      </c>
      <c r="D9" t="s">
        <v>8</v>
      </c>
      <c r="E9">
        <v>1000</v>
      </c>
      <c r="K9">
        <f>SUM(K2:K7)</f>
        <v>174.32333333333335</v>
      </c>
    </row>
    <row r="10" spans="1:12" x14ac:dyDescent="0.25">
      <c r="D10" t="s">
        <v>9</v>
      </c>
      <c r="E10">
        <v>500</v>
      </c>
    </row>
    <row r="13" spans="1:12" x14ac:dyDescent="0.25">
      <c r="E13">
        <f>SUM(E2:E10)</f>
        <v>6720</v>
      </c>
    </row>
    <row r="14" spans="1:12" x14ac:dyDescent="0.25">
      <c r="A14" t="s">
        <v>10</v>
      </c>
      <c r="B14">
        <v>100000</v>
      </c>
    </row>
    <row r="15" spans="1:12" x14ac:dyDescent="0.25">
      <c r="A15" t="s">
        <v>14</v>
      </c>
      <c r="B15">
        <f>3253.73-H2</f>
        <v>3211.64</v>
      </c>
    </row>
    <row r="16" spans="1:12" x14ac:dyDescent="0.25">
      <c r="B16">
        <f>B15*2</f>
        <v>6423.28</v>
      </c>
      <c r="C16">
        <f>$E$13-B16</f>
        <v>296.72000000000025</v>
      </c>
    </row>
    <row r="18" spans="1:3" x14ac:dyDescent="0.25">
      <c r="A18" t="s">
        <v>10</v>
      </c>
      <c r="B18">
        <v>95000</v>
      </c>
    </row>
    <row r="19" spans="1:3" x14ac:dyDescent="0.25">
      <c r="A19" t="s">
        <v>14</v>
      </c>
      <c r="B19">
        <f>3107.16-H6</f>
        <v>3107.16</v>
      </c>
    </row>
    <row r="20" spans="1:3" x14ac:dyDescent="0.25">
      <c r="B20">
        <f>B19*2</f>
        <v>6214.32</v>
      </c>
      <c r="C20">
        <f>$E$13-B20</f>
        <v>505.68000000000029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Venkata</dc:creator>
  <cp:lastModifiedBy>Naga Venkata</cp:lastModifiedBy>
  <dcterms:created xsi:type="dcterms:W3CDTF">2023-06-14T18:36:30Z</dcterms:created>
  <dcterms:modified xsi:type="dcterms:W3CDTF">2023-06-14T20:46:08Z</dcterms:modified>
</cp:coreProperties>
</file>